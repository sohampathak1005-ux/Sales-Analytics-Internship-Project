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5F262A6-5A2E-42FC-AFAF-17A2AB11E9DB}" xr6:coauthVersionLast="47" xr6:coauthVersionMax="47" xr10:uidLastSave="{00000000-0000-0000-0000-000000000000}"/>
  <bookViews>
    <workbookView xWindow="-120" yWindow="-120" windowWidth="20730" windowHeight="11160" activeTab="2" xr2:uid="{D62E3F39-EDD7-4A90-AA10-126AF2A619EB}"/>
  </bookViews>
  <sheets>
    <sheet name="Pivot_Region" sheetId="2" r:id="rId1"/>
    <sheet name="Pivot_Product" sheetId="3" r:id="rId2"/>
    <sheet name="Pivot_Monthly" sheetId="6" r:id="rId3"/>
    <sheet name="Sales_Data" sheetId="1" r:id="rId4"/>
  </sheets>
  <calcPr calcId="191029"/>
  <pivotCaches>
    <pivotCache cacheId="1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I2" i="1"/>
  <c r="I3" i="1"/>
  <c r="I4" i="1"/>
  <c r="I5" i="1"/>
  <c r="I6" i="1"/>
  <c r="I7" i="1"/>
  <c r="I8" i="1"/>
  <c r="I9" i="1"/>
  <c r="I10" i="1"/>
  <c r="I11" i="1"/>
</calcChain>
</file>

<file path=xl/sharedStrings.xml><?xml version="1.0" encoding="utf-8"?>
<sst xmlns="http://schemas.openxmlformats.org/spreadsheetml/2006/main" count="75" uniqueCount="42">
  <si>
    <t>Order_ID</t>
  </si>
  <si>
    <t>Order_Date</t>
  </si>
  <si>
    <t>Region</t>
  </si>
  <si>
    <t>Product</t>
  </si>
  <si>
    <t>Category</t>
  </si>
  <si>
    <t>Sales_Amount</t>
  </si>
  <si>
    <t>Profit</t>
  </si>
  <si>
    <t>ORD001</t>
  </si>
  <si>
    <t>ORD002</t>
  </si>
  <si>
    <t>ORD003</t>
  </si>
  <si>
    <t>ORD004</t>
  </si>
  <si>
    <t>ORD005</t>
  </si>
  <si>
    <t>ORD006</t>
  </si>
  <si>
    <t>ORD007</t>
  </si>
  <si>
    <t>ORD008</t>
  </si>
  <si>
    <t>ORD009</t>
  </si>
  <si>
    <t>ORD010</t>
  </si>
  <si>
    <t>East</t>
  </si>
  <si>
    <t>West</t>
  </si>
  <si>
    <t>North</t>
  </si>
  <si>
    <t>South</t>
  </si>
  <si>
    <t>Laptop</t>
  </si>
  <si>
    <t>Smartphone</t>
  </si>
  <si>
    <t>Office Chair</t>
  </si>
  <si>
    <t>Printer</t>
  </si>
  <si>
    <t>Desk</t>
  </si>
  <si>
    <t>Notebook</t>
  </si>
  <si>
    <t>Monitor</t>
  </si>
  <si>
    <t>Keyboard</t>
  </si>
  <si>
    <t>Bookshelf</t>
  </si>
  <si>
    <t>Mouse</t>
  </si>
  <si>
    <t>Electronics</t>
  </si>
  <si>
    <t>Furniture</t>
  </si>
  <si>
    <t>Stationery</t>
  </si>
  <si>
    <t>Quantity</t>
  </si>
  <si>
    <t>Total_Sales</t>
  </si>
  <si>
    <t>Profit_Margin</t>
  </si>
  <si>
    <t>Row Labels</t>
  </si>
  <si>
    <t>Grand Total</t>
  </si>
  <si>
    <t>Sum of Total_Sales</t>
  </si>
  <si>
    <t>Jan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</si>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</sst>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2">
    <cellStyle name="Normal" xfId="0" builtinId="0"/>
    <cellStyle name="Percent" xfId="1" builtinId="5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ham Pathak" refreshedDate="46257.564685879632" createdVersion="8" refreshedVersion="8" minRefreshableVersion="3" recordCount="10" xr:uid="{FD2B7A34-FD3D-4122-A8E8-7B538DF8877F}">
  <cacheSource type="worksheet">
    <worksheetSource name="Table2"/>
  </cacheSource>
  <cacheFields count="12">
    <cacheField name="Order_ID" numFmtId="0">
      <sharedItems/>
    </cacheField>
    <cacheField name="Order_Date" numFmtId="14">
      <sharedItems containsSemiMixedTypes="0" containsNonDate="0" containsDate="1" containsString="0" minDate="2026-01-01T00:00:00" maxDate="2026-01-29T00:00:00" count="10">
        <d v="2026-01-01T00:00:00"/>
        <d v="2026-01-03T00:00:00"/>
        <d v="2026-01-05T00:00:00"/>
        <d v="2026-01-08T00:00:00"/>
        <d v="2026-01-12T00:00:00"/>
        <d v="2026-01-15T00:00:00"/>
        <d v="2026-01-18T00:00:00"/>
        <d v="2026-01-21T00:00:00"/>
        <d v="2026-01-25T00:00:00"/>
        <d v="2026-01-28T00:00:00"/>
      </sharedItems>
      <fieldGroup par="11"/>
    </cacheField>
    <cacheField name="Region" numFmtId="0">
      <sharedItems count="4">
        <s v="East"/>
        <s v="West"/>
        <s v="North"/>
        <s v="South"/>
      </sharedItems>
    </cacheField>
    <cacheField name="Product" numFmtId="0">
      <sharedItems count="10">
        <s v="Laptop"/>
        <s v="Smartphone"/>
        <s v="Office Chair"/>
        <s v="Printer"/>
        <s v="Desk"/>
        <s v="Notebook"/>
        <s v="Monitor"/>
        <s v="Keyboard"/>
        <s v="Bookshelf"/>
        <s v="Mouse"/>
      </sharedItems>
    </cacheField>
    <cacheField name="Category" numFmtId="0">
      <sharedItems/>
    </cacheField>
    <cacheField name="Sales_Amount" numFmtId="0">
      <sharedItems containsSemiMixedTypes="0" containsString="0" containsNumber="1" containsInteger="1" minValue="4000" maxValue="55000"/>
    </cacheField>
    <cacheField name="Profit" numFmtId="0">
      <sharedItems containsSemiMixedTypes="0" containsString="0" containsNumber="1" containsInteger="1" minValue="1000" maxValue="8500"/>
    </cacheField>
    <cacheField name="Quantity" numFmtId="0">
      <sharedItems containsSemiMixedTypes="0" containsString="0" containsNumber="1" containsInteger="1" minValue="2" maxValue="10"/>
    </cacheField>
    <cacheField name="Total_Sales" numFmtId="0">
      <sharedItems containsSemiMixedTypes="0" containsString="0" containsNumber="1" containsInteger="1" minValue="4000" maxValue="55000"/>
    </cacheField>
    <cacheField name="Profit_Margin" numFmtId="9">
      <sharedItems containsSemiMixedTypes="0" containsString="0" containsNumber="1" minValue="0.15454545454545454" maxValue="0.25"/>
    </cacheField>
    <cacheField name="Months (Order_Date)" numFmtId="0" databaseField="0">
      <fieldGroup base="1">
        <rangePr groupBy="months" startDate="2026-01-01T00:00:00" endDate="2026-01-29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01-2026"/>
        </groupItems>
      </fieldGroup>
    </cacheField>
    <cacheField name="Years (Order_Date)" numFmtId="0" databaseField="0">
      <fieldGroup base="1">
        <rangePr groupBy="years" startDate="2026-01-01T00:00:00" endDate="2026-01-29T00:00:00"/>
        <groupItems count="3">
          <s v="&lt;01-01-2026"/>
          <s v="2026"/>
          <s v="&gt;29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ORD001"/>
    <x v="0"/>
    <x v="0"/>
    <x v="0"/>
    <s v="Electronics"/>
    <n v="55000"/>
    <n v="8500"/>
    <n v="2"/>
    <n v="55000"/>
    <n v="0.15454545454545454"/>
  </r>
  <r>
    <s v="ORD002"/>
    <x v="1"/>
    <x v="1"/>
    <x v="1"/>
    <s v="Electronics"/>
    <n v="32000"/>
    <n v="5000"/>
    <n v="3"/>
    <n v="32000"/>
    <n v="0.15625"/>
  </r>
  <r>
    <s v="ORD003"/>
    <x v="2"/>
    <x v="2"/>
    <x v="2"/>
    <s v="Furniture"/>
    <n v="12000"/>
    <n v="2800"/>
    <n v="4"/>
    <n v="12000"/>
    <n v="0.23333333333333334"/>
  </r>
  <r>
    <s v="ORD004"/>
    <x v="3"/>
    <x v="3"/>
    <x v="3"/>
    <s v="Electronics"/>
    <n v="18000"/>
    <n v="3500"/>
    <n v="2"/>
    <n v="18000"/>
    <n v="0.19444444444444445"/>
  </r>
  <r>
    <s v="ORD005"/>
    <x v="4"/>
    <x v="0"/>
    <x v="4"/>
    <s v="Furniture"/>
    <n v="15000"/>
    <n v="3000"/>
    <n v="3"/>
    <n v="15000"/>
    <n v="0.2"/>
  </r>
  <r>
    <s v="ORD006"/>
    <x v="5"/>
    <x v="1"/>
    <x v="5"/>
    <s v="Stationery"/>
    <n v="5000"/>
    <n v="1200"/>
    <n v="10"/>
    <n v="5000"/>
    <n v="0.24"/>
  </r>
  <r>
    <s v="ORD007"/>
    <x v="6"/>
    <x v="2"/>
    <x v="6"/>
    <s v="Electronics"/>
    <n v="22000"/>
    <n v="4200"/>
    <n v="2"/>
    <n v="22000"/>
    <n v="0.19090909090909092"/>
  </r>
  <r>
    <s v="ORD008"/>
    <x v="7"/>
    <x v="3"/>
    <x v="7"/>
    <s v="Electronics"/>
    <n v="6000"/>
    <n v="1500"/>
    <n v="5"/>
    <n v="6000"/>
    <n v="0.25"/>
  </r>
  <r>
    <s v="ORD009"/>
    <x v="8"/>
    <x v="0"/>
    <x v="8"/>
    <s v="Furniture"/>
    <n v="10000"/>
    <n v="2200"/>
    <n v="2"/>
    <n v="10000"/>
    <n v="0.22"/>
  </r>
  <r>
    <s v="ORD010"/>
    <x v="9"/>
    <x v="1"/>
    <x v="9"/>
    <s v="Electronics"/>
    <n v="4000"/>
    <n v="1000"/>
    <n v="8"/>
    <n v="4000"/>
    <n v="0.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CF7B6-563B-44D9-A8C4-D9588D6AEFAB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2">
    <pivotField showAll="0"/>
    <pivotField numFmtId="1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72FF9-705F-4833-9A05-35D556F5CD23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2">
    <pivotField showAll="0"/>
    <pivotField numFmtId="1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axis="axisRow" showAll="0">
      <items count="11">
        <item x="8"/>
        <item x="4"/>
        <item x="7"/>
        <item x="0"/>
        <item x="6"/>
        <item x="9"/>
        <item x="5"/>
        <item x="2"/>
        <item x="3"/>
        <item x="1"/>
        <item t="default"/>
      </items>
    </pivotField>
    <pivotField showAll="0"/>
    <pivotField showAll="0"/>
    <pivotField showAll="0"/>
    <pivotField showAll="0"/>
    <pivotField dataField="1"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_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83CD3E-187E-487D-A793-5FBDFAFF5AF6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showAll="0"/>
    <pivotField numFmtId="1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numFmtId="9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11"/>
    <field x="10"/>
  </rowFields>
  <rowItems count="3">
    <i>
      <x v="1"/>
    </i>
    <i r="1">
      <x v="1"/>
    </i>
    <i t="grand">
      <x/>
    </i>
  </rowItems>
  <colItems count="1">
    <i/>
  </colItems>
  <dataFields count="1">
    <dataField name="Sum of Total_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25CB04-E8BB-454A-90B8-2E9D799C0E1D}" name="Table2" displayName="Table2" ref="A1:J11" totalsRowShown="0">
  <autoFilter ref="A1:J11" xr:uid="{9625CB04-E8BB-454A-90B8-2E9D799C0E1D}"/>
  <tableColumns count="10">
    <tableColumn id="1" xr3:uid="{E46944A7-7ED9-4C39-8603-01D38B3E3892}" name="Order_ID"/>
    <tableColumn id="2" xr3:uid="{22242D86-FBA4-41F5-8546-C12C7A1FFEC7}" name="Order_Date" dataDxfId="1"/>
    <tableColumn id="3" xr3:uid="{973B009B-C6EF-47A6-8B50-528A0C97B169}" name="Region"/>
    <tableColumn id="4" xr3:uid="{8E3EA8F5-24B0-41A6-8DAB-F4A7154D58B9}" name="Product"/>
    <tableColumn id="5" xr3:uid="{2EC0D0E3-2E9A-4852-8886-9236968568AB}" name="Category"/>
    <tableColumn id="6" xr3:uid="{6E5EFF9E-B542-4A41-8C39-1F2E01A0B96E}" name="Sales_Amount"/>
    <tableColumn id="7" xr3:uid="{400B9FC8-5DB0-4B07-AD6F-07928D5E2A30}" name="Profit"/>
    <tableColumn id="8" xr3:uid="{9028850E-F820-4850-A98C-2AA9F6D000C8}" name="Quantity"/>
    <tableColumn id="9" xr3:uid="{98CA835B-7013-4EA1-AF26-873D566A39E6}" name="Total_Sales" dataDxfId="0">
      <calculatedColumnFormula>F2</calculatedColumnFormula>
    </tableColumn>
    <tableColumn id="10" xr3:uid="{672D16D2-E935-4210-9509-28FFB142CE24}" name="Profit_Margin" dataCellStyle="Percent">
      <calculatedColumnFormula>G2/F2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02BE5-4B9B-4006-9A17-0F20D7642B8C}">
  <dimension ref="A3:B8"/>
  <sheetViews>
    <sheetView workbookViewId="0">
      <selection activeCell="E5" sqref="E5"/>
    </sheetView>
  </sheetViews>
  <sheetFormatPr defaultRowHeight="15" x14ac:dyDescent="0.25"/>
  <cols>
    <col min="1" max="1" width="13.42578125" bestFit="1" customWidth="1"/>
    <col min="2" max="2" width="18.140625" bestFit="1" customWidth="1"/>
  </cols>
  <sheetData>
    <row r="3" spans="1:2" x14ac:dyDescent="0.25">
      <c r="A3" s="3" t="s">
        <v>37</v>
      </c>
      <c r="B3" t="s">
        <v>39</v>
      </c>
    </row>
    <row r="4" spans="1:2" x14ac:dyDescent="0.25">
      <c r="A4" s="4" t="s">
        <v>17</v>
      </c>
      <c r="B4" s="5">
        <v>80000</v>
      </c>
    </row>
    <row r="5" spans="1:2" x14ac:dyDescent="0.25">
      <c r="A5" s="4" t="s">
        <v>19</v>
      </c>
      <c r="B5" s="5">
        <v>34000</v>
      </c>
    </row>
    <row r="6" spans="1:2" x14ac:dyDescent="0.25">
      <c r="A6" s="4" t="s">
        <v>20</v>
      </c>
      <c r="B6" s="5">
        <v>24000</v>
      </c>
    </row>
    <row r="7" spans="1:2" x14ac:dyDescent="0.25">
      <c r="A7" s="4" t="s">
        <v>18</v>
      </c>
      <c r="B7" s="5">
        <v>41000</v>
      </c>
    </row>
    <row r="8" spans="1:2" x14ac:dyDescent="0.25">
      <c r="A8" s="4" t="s">
        <v>38</v>
      </c>
      <c r="B8" s="5">
        <v>179000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CC911-E624-4ED7-BC52-8287C5A800E1}">
  <dimension ref="A3:B14"/>
  <sheetViews>
    <sheetView workbookViewId="0">
      <selection activeCell="F14" sqref="F14"/>
    </sheetView>
  </sheetViews>
  <sheetFormatPr defaultRowHeight="15" x14ac:dyDescent="0.25"/>
  <cols>
    <col min="1" max="1" width="13.42578125" bestFit="1" customWidth="1"/>
    <col min="2" max="2" width="18.140625" bestFit="1" customWidth="1"/>
  </cols>
  <sheetData>
    <row r="3" spans="1:2" x14ac:dyDescent="0.25">
      <c r="A3" s="3" t="s">
        <v>37</v>
      </c>
      <c r="B3" t="s">
        <v>39</v>
      </c>
    </row>
    <row r="4" spans="1:2" x14ac:dyDescent="0.25">
      <c r="A4" s="4" t="s">
        <v>29</v>
      </c>
      <c r="B4" s="5">
        <v>10000</v>
      </c>
    </row>
    <row r="5" spans="1:2" x14ac:dyDescent="0.25">
      <c r="A5" s="4" t="s">
        <v>25</v>
      </c>
      <c r="B5" s="5">
        <v>15000</v>
      </c>
    </row>
    <row r="6" spans="1:2" x14ac:dyDescent="0.25">
      <c r="A6" s="4" t="s">
        <v>28</v>
      </c>
      <c r="B6" s="5">
        <v>6000</v>
      </c>
    </row>
    <row r="7" spans="1:2" x14ac:dyDescent="0.25">
      <c r="A7" s="4" t="s">
        <v>21</v>
      </c>
      <c r="B7" s="5">
        <v>55000</v>
      </c>
    </row>
    <row r="8" spans="1:2" x14ac:dyDescent="0.25">
      <c r="A8" s="4" t="s">
        <v>27</v>
      </c>
      <c r="B8" s="5">
        <v>22000</v>
      </c>
    </row>
    <row r="9" spans="1:2" x14ac:dyDescent="0.25">
      <c r="A9" s="4" t="s">
        <v>30</v>
      </c>
      <c r="B9" s="5">
        <v>4000</v>
      </c>
    </row>
    <row r="10" spans="1:2" x14ac:dyDescent="0.25">
      <c r="A10" s="4" t="s">
        <v>26</v>
      </c>
      <c r="B10" s="5">
        <v>5000</v>
      </c>
    </row>
    <row r="11" spans="1:2" x14ac:dyDescent="0.25">
      <c r="A11" s="4" t="s">
        <v>23</v>
      </c>
      <c r="B11" s="5">
        <v>12000</v>
      </c>
    </row>
    <row r="12" spans="1:2" x14ac:dyDescent="0.25">
      <c r="A12" s="4" t="s">
        <v>24</v>
      </c>
      <c r="B12" s="5">
        <v>18000</v>
      </c>
    </row>
    <row r="13" spans="1:2" x14ac:dyDescent="0.25">
      <c r="A13" s="4" t="s">
        <v>22</v>
      </c>
      <c r="B13" s="5">
        <v>32000</v>
      </c>
    </row>
    <row r="14" spans="1:2" x14ac:dyDescent="0.25">
      <c r="A14" s="4" t="s">
        <v>38</v>
      </c>
      <c r="B14" s="5">
        <v>179000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7E5BA-9047-4B03-9DD2-A7F47A2711E6}">
  <dimension ref="A3:B6"/>
  <sheetViews>
    <sheetView tabSelected="1" workbookViewId="0">
      <selection activeCell="D6" sqref="D6"/>
    </sheetView>
  </sheetViews>
  <sheetFormatPr defaultRowHeight="15" x14ac:dyDescent="0.25"/>
  <cols>
    <col min="1" max="1" width="13.42578125" bestFit="1" customWidth="1"/>
    <col min="2" max="2" width="18.140625" bestFit="1" customWidth="1"/>
  </cols>
  <sheetData>
    <row r="3" spans="1:2" x14ac:dyDescent="0.25">
      <c r="A3" s="3" t="s">
        <v>37</v>
      </c>
      <c r="B3" t="s">
        <v>39</v>
      </c>
    </row>
    <row r="4" spans="1:2" x14ac:dyDescent="0.25">
      <c r="A4" s="4" t="s">
        <v>41</v>
      </c>
      <c r="B4" s="5">
        <v>179000</v>
      </c>
    </row>
    <row r="5" spans="1:2" x14ac:dyDescent="0.25">
      <c r="A5" s="6" t="s">
        <v>40</v>
      </c>
      <c r="B5" s="5">
        <v>179000</v>
      </c>
    </row>
    <row r="6" spans="1:2" x14ac:dyDescent="0.25">
      <c r="A6" s="4" t="s">
        <v>38</v>
      </c>
      <c r="B6" s="5">
        <v>179000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633A-6544-4360-944D-DBD976AFF645}">
  <dimension ref="A1:J11"/>
  <sheetViews>
    <sheetView workbookViewId="0">
      <selection activeCell="A2" sqref="A2:J11"/>
    </sheetView>
  </sheetViews>
  <sheetFormatPr defaultRowHeight="15" x14ac:dyDescent="0.25"/>
  <cols>
    <col min="1" max="1" width="11.140625" customWidth="1"/>
    <col min="2" max="2" width="13.42578125" customWidth="1"/>
    <col min="3" max="3" width="9.42578125" customWidth="1"/>
    <col min="4" max="4" width="12.42578125" customWidth="1"/>
    <col min="5" max="5" width="13.140625" customWidth="1"/>
    <col min="6" max="6" width="15.85546875" customWidth="1"/>
    <col min="8" max="8" width="10.85546875" customWidth="1"/>
    <col min="9" max="9" width="13.85546875" customWidth="1"/>
    <col min="10" max="10" width="15.5703125" style="2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34</v>
      </c>
      <c r="I1" t="s">
        <v>35</v>
      </c>
      <c r="J1" s="2" t="s">
        <v>36</v>
      </c>
    </row>
    <row r="2" spans="1:10" x14ac:dyDescent="0.25">
      <c r="A2" t="s">
        <v>7</v>
      </c>
      <c r="B2" s="1">
        <v>46023</v>
      </c>
      <c r="C2" t="s">
        <v>17</v>
      </c>
      <c r="D2" t="s">
        <v>21</v>
      </c>
      <c r="E2" t="s">
        <v>31</v>
      </c>
      <c r="F2">
        <v>55000</v>
      </c>
      <c r="G2">
        <v>8500</v>
      </c>
      <c r="H2">
        <v>2</v>
      </c>
      <c r="I2">
        <f t="shared" ref="I2:I11" si="0">F2</f>
        <v>55000</v>
      </c>
      <c r="J2" s="2">
        <f t="shared" ref="J2:J11" si="1">G2/F2</f>
        <v>0.15454545454545454</v>
      </c>
    </row>
    <row r="3" spans="1:10" x14ac:dyDescent="0.25">
      <c r="A3" t="s">
        <v>8</v>
      </c>
      <c r="B3" s="1">
        <v>46025</v>
      </c>
      <c r="C3" t="s">
        <v>18</v>
      </c>
      <c r="D3" t="s">
        <v>22</v>
      </c>
      <c r="E3" t="s">
        <v>31</v>
      </c>
      <c r="F3">
        <v>32000</v>
      </c>
      <c r="G3">
        <v>5000</v>
      </c>
      <c r="H3">
        <v>3</v>
      </c>
      <c r="I3">
        <f t="shared" si="0"/>
        <v>32000</v>
      </c>
      <c r="J3" s="2">
        <f t="shared" si="1"/>
        <v>0.15625</v>
      </c>
    </row>
    <row r="4" spans="1:10" x14ac:dyDescent="0.25">
      <c r="A4" t="s">
        <v>9</v>
      </c>
      <c r="B4" s="1">
        <v>46027</v>
      </c>
      <c r="C4" t="s">
        <v>19</v>
      </c>
      <c r="D4" t="s">
        <v>23</v>
      </c>
      <c r="E4" t="s">
        <v>32</v>
      </c>
      <c r="F4">
        <v>12000</v>
      </c>
      <c r="G4">
        <v>2800</v>
      </c>
      <c r="H4">
        <v>4</v>
      </c>
      <c r="I4">
        <f t="shared" si="0"/>
        <v>12000</v>
      </c>
      <c r="J4" s="2">
        <f t="shared" si="1"/>
        <v>0.23333333333333334</v>
      </c>
    </row>
    <row r="5" spans="1:10" x14ac:dyDescent="0.25">
      <c r="A5" t="s">
        <v>10</v>
      </c>
      <c r="B5" s="1">
        <v>46030</v>
      </c>
      <c r="C5" t="s">
        <v>20</v>
      </c>
      <c r="D5" t="s">
        <v>24</v>
      </c>
      <c r="E5" t="s">
        <v>31</v>
      </c>
      <c r="F5">
        <v>18000</v>
      </c>
      <c r="G5">
        <v>3500</v>
      </c>
      <c r="H5">
        <v>2</v>
      </c>
      <c r="I5">
        <f t="shared" si="0"/>
        <v>18000</v>
      </c>
      <c r="J5" s="2">
        <f t="shared" si="1"/>
        <v>0.19444444444444445</v>
      </c>
    </row>
    <row r="6" spans="1:10" x14ac:dyDescent="0.25">
      <c r="A6" t="s">
        <v>11</v>
      </c>
      <c r="B6" s="1">
        <v>46034</v>
      </c>
      <c r="C6" t="s">
        <v>17</v>
      </c>
      <c r="D6" t="s">
        <v>25</v>
      </c>
      <c r="E6" t="s">
        <v>32</v>
      </c>
      <c r="F6">
        <v>15000</v>
      </c>
      <c r="G6">
        <v>3000</v>
      </c>
      <c r="H6">
        <v>3</v>
      </c>
      <c r="I6">
        <f t="shared" si="0"/>
        <v>15000</v>
      </c>
      <c r="J6" s="2">
        <f t="shared" si="1"/>
        <v>0.2</v>
      </c>
    </row>
    <row r="7" spans="1:10" x14ac:dyDescent="0.25">
      <c r="A7" t="s">
        <v>12</v>
      </c>
      <c r="B7" s="1">
        <v>46037</v>
      </c>
      <c r="C7" t="s">
        <v>18</v>
      </c>
      <c r="D7" t="s">
        <v>26</v>
      </c>
      <c r="E7" t="s">
        <v>33</v>
      </c>
      <c r="F7">
        <v>5000</v>
      </c>
      <c r="G7">
        <v>1200</v>
      </c>
      <c r="H7">
        <v>10</v>
      </c>
      <c r="I7">
        <f t="shared" si="0"/>
        <v>5000</v>
      </c>
      <c r="J7" s="2">
        <f t="shared" si="1"/>
        <v>0.24</v>
      </c>
    </row>
    <row r="8" spans="1:10" x14ac:dyDescent="0.25">
      <c r="A8" t="s">
        <v>13</v>
      </c>
      <c r="B8" s="1">
        <v>46040</v>
      </c>
      <c r="C8" t="s">
        <v>19</v>
      </c>
      <c r="D8" t="s">
        <v>27</v>
      </c>
      <c r="E8" t="s">
        <v>31</v>
      </c>
      <c r="F8">
        <v>22000</v>
      </c>
      <c r="G8">
        <v>4200</v>
      </c>
      <c r="H8">
        <v>2</v>
      </c>
      <c r="I8">
        <f t="shared" si="0"/>
        <v>22000</v>
      </c>
      <c r="J8" s="2">
        <f t="shared" si="1"/>
        <v>0.19090909090909092</v>
      </c>
    </row>
    <row r="9" spans="1:10" x14ac:dyDescent="0.25">
      <c r="A9" t="s">
        <v>14</v>
      </c>
      <c r="B9" s="1">
        <v>46043</v>
      </c>
      <c r="C9" t="s">
        <v>20</v>
      </c>
      <c r="D9" t="s">
        <v>28</v>
      </c>
      <c r="E9" t="s">
        <v>31</v>
      </c>
      <c r="F9">
        <v>6000</v>
      </c>
      <c r="G9">
        <v>1500</v>
      </c>
      <c r="H9">
        <v>5</v>
      </c>
      <c r="I9">
        <f t="shared" si="0"/>
        <v>6000</v>
      </c>
      <c r="J9" s="2">
        <f t="shared" si="1"/>
        <v>0.25</v>
      </c>
    </row>
    <row r="10" spans="1:10" x14ac:dyDescent="0.25">
      <c r="A10" t="s">
        <v>15</v>
      </c>
      <c r="B10" s="1">
        <v>46047</v>
      </c>
      <c r="C10" t="s">
        <v>17</v>
      </c>
      <c r="D10" t="s">
        <v>29</v>
      </c>
      <c r="E10" t="s">
        <v>32</v>
      </c>
      <c r="F10">
        <v>10000</v>
      </c>
      <c r="G10">
        <v>2200</v>
      </c>
      <c r="H10">
        <v>2</v>
      </c>
      <c r="I10">
        <f t="shared" si="0"/>
        <v>10000</v>
      </c>
      <c r="J10" s="2">
        <f t="shared" si="1"/>
        <v>0.22</v>
      </c>
    </row>
    <row r="11" spans="1:10" x14ac:dyDescent="0.25">
      <c r="A11" t="s">
        <v>16</v>
      </c>
      <c r="B11" s="1">
        <v>46050</v>
      </c>
      <c r="C11" t="s">
        <v>18</v>
      </c>
      <c r="D11" t="s">
        <v>30</v>
      </c>
      <c r="E11" t="s">
        <v>31</v>
      </c>
      <c r="F11">
        <v>4000</v>
      </c>
      <c r="G11">
        <v>1000</v>
      </c>
      <c r="H11">
        <v>8</v>
      </c>
      <c r="I11">
        <f t="shared" si="0"/>
        <v>4000</v>
      </c>
      <c r="J11" s="2">
        <f t="shared" si="1"/>
        <v>0.25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Pivot_Region</vt:lpstr>
      <vt:lpstr>Pivot_Product</vt:lpstr>
      <vt:lpstr>Pivot_Monthly</vt:lpstr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Pathak</dc:creator>
  <cp:lastModifiedBy>Soham Pathak</cp:lastModifiedBy>
  <dcterms:created xsi:type="dcterms:W3CDTF">2026-08-23T06:18:47Z</dcterms:created>
  <dcterms:modified xsi:type="dcterms:W3CDTF">2026-08-23T08:22:04Z</dcterms:modified>
</cp:coreProperties>
</file>